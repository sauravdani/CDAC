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day11\"/>
    </mc:Choice>
  </mc:AlternateContent>
  <xr:revisionPtr revIDLastSave="0" documentId="13_ncr:1_{FE2B5405-909A-434D-9727-DE3E61D8C0CD}" xr6:coauthVersionLast="47" xr6:coauthVersionMax="47" xr10:uidLastSave="{00000000-0000-0000-0000-000000000000}"/>
  <bookViews>
    <workbookView xWindow="-120" yWindow="-120" windowWidth="24240" windowHeight="13740" activeTab="1" xr2:uid="{0F6B2F98-6533-4F07-9EEA-816D3F3E599B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4" l="1"/>
  <c r="E10" i="4" s="1"/>
  <c r="G10" i="4" s="1"/>
  <c r="B10" i="4"/>
  <c r="D9" i="4"/>
  <c r="B9" i="4"/>
  <c r="D8" i="4"/>
  <c r="E8" i="4" s="1"/>
  <c r="B8" i="4"/>
  <c r="D7" i="4"/>
  <c r="B7" i="4"/>
  <c r="D6" i="4"/>
  <c r="B6" i="4"/>
  <c r="D5" i="4"/>
  <c r="E5" i="4" s="1"/>
  <c r="B5" i="4"/>
  <c r="D4" i="4"/>
  <c r="B4" i="4"/>
  <c r="D10" i="3"/>
  <c r="E10" i="3" s="1"/>
  <c r="G10" i="3" s="1"/>
  <c r="B10" i="3"/>
  <c r="D9" i="3"/>
  <c r="B9" i="3"/>
  <c r="D8" i="3"/>
  <c r="B8" i="3"/>
  <c r="D7" i="3"/>
  <c r="E7" i="3" s="1"/>
  <c r="B7" i="3"/>
  <c r="D6" i="3"/>
  <c r="E6" i="3" s="1"/>
  <c r="G6" i="3" s="1"/>
  <c r="B6" i="3"/>
  <c r="D5" i="3"/>
  <c r="B5" i="3"/>
  <c r="D4" i="3"/>
  <c r="B4" i="3"/>
  <c r="E4" i="3" s="1"/>
  <c r="E14" i="1"/>
  <c r="E14" i="2"/>
  <c r="D4" i="2"/>
  <c r="D10" i="2"/>
  <c r="E10" i="2" s="1"/>
  <c r="G10" i="2" s="1"/>
  <c r="B10" i="2"/>
  <c r="D9" i="2"/>
  <c r="B9" i="2"/>
  <c r="D8" i="2"/>
  <c r="E8" i="2" s="1"/>
  <c r="B8" i="2"/>
  <c r="D7" i="2"/>
  <c r="E7" i="2" s="1"/>
  <c r="B7" i="2"/>
  <c r="D6" i="2"/>
  <c r="B6" i="2"/>
  <c r="D5" i="2"/>
  <c r="E5" i="2" s="1"/>
  <c r="B5" i="2"/>
  <c r="B4" i="2"/>
  <c r="K15" i="1"/>
  <c r="K14" i="1"/>
  <c r="G15" i="1"/>
  <c r="G14" i="1"/>
  <c r="B5" i="1"/>
  <c r="B6" i="1"/>
  <c r="B7" i="1"/>
  <c r="B8" i="1"/>
  <c r="B9" i="1"/>
  <c r="B10" i="1"/>
  <c r="B4" i="1"/>
  <c r="D5" i="1"/>
  <c r="D6" i="1"/>
  <c r="D7" i="1"/>
  <c r="E7" i="1" s="1"/>
  <c r="D8" i="1"/>
  <c r="D9" i="1"/>
  <c r="E9" i="1" s="1"/>
  <c r="D10" i="1"/>
  <c r="E10" i="1" s="1"/>
  <c r="D4" i="1"/>
  <c r="F8" i="4" l="1"/>
  <c r="G8" i="4"/>
  <c r="E6" i="4"/>
  <c r="E9" i="4"/>
  <c r="E7" i="4"/>
  <c r="E4" i="4"/>
  <c r="F4" i="4" s="1"/>
  <c r="G15" i="4"/>
  <c r="K15" i="4" s="1"/>
  <c r="G4" i="4"/>
  <c r="F5" i="4"/>
  <c r="G5" i="4"/>
  <c r="G6" i="4"/>
  <c r="F6" i="4"/>
  <c r="G9" i="4"/>
  <c r="F9" i="4"/>
  <c r="G7" i="4"/>
  <c r="F7" i="4"/>
  <c r="F10" i="4"/>
  <c r="E9" i="3"/>
  <c r="E8" i="3"/>
  <c r="F8" i="3" s="1"/>
  <c r="E5" i="3"/>
  <c r="G5" i="3" s="1"/>
  <c r="G8" i="3"/>
  <c r="F9" i="3"/>
  <c r="G9" i="3"/>
  <c r="G4" i="3"/>
  <c r="F4" i="3"/>
  <c r="G7" i="3"/>
  <c r="F7" i="3"/>
  <c r="F10" i="3"/>
  <c r="F6" i="3"/>
  <c r="E9" i="2"/>
  <c r="E6" i="2"/>
  <c r="F6" i="2" s="1"/>
  <c r="F8" i="2"/>
  <c r="G8" i="2"/>
  <c r="E4" i="2"/>
  <c r="G15" i="2"/>
  <c r="K15" i="2" s="1"/>
  <c r="G6" i="2"/>
  <c r="F5" i="2"/>
  <c r="G5" i="2"/>
  <c r="G9" i="2"/>
  <c r="F9" i="2"/>
  <c r="G7" i="2"/>
  <c r="F7" i="2"/>
  <c r="F10" i="2"/>
  <c r="E6" i="1"/>
  <c r="F6" i="1" s="1"/>
  <c r="E5" i="1"/>
  <c r="G5" i="1" s="1"/>
  <c r="E8" i="1"/>
  <c r="F8" i="1" s="1"/>
  <c r="E4" i="1"/>
  <c r="F10" i="1"/>
  <c r="G10" i="1"/>
  <c r="F7" i="1"/>
  <c r="G7" i="1"/>
  <c r="F9" i="1"/>
  <c r="G9" i="1"/>
  <c r="F5" i="1"/>
  <c r="G6" i="1"/>
  <c r="G14" i="4" l="1"/>
  <c r="K14" i="4" s="1"/>
  <c r="E14" i="4"/>
  <c r="F5" i="3"/>
  <c r="E14" i="3" s="1"/>
  <c r="G15" i="3"/>
  <c r="K15" i="3" s="1"/>
  <c r="G14" i="3"/>
  <c r="K14" i="3" s="1"/>
  <c r="F4" i="2"/>
  <c r="G4" i="2"/>
  <c r="G14" i="2" s="1"/>
  <c r="K14" i="2" s="1"/>
  <c r="F4" i="1"/>
  <c r="G4" i="1"/>
  <c r="G8" i="1"/>
</calcChain>
</file>

<file path=xl/sharedStrings.xml><?xml version="1.0" encoding="utf-8"?>
<sst xmlns="http://schemas.openxmlformats.org/spreadsheetml/2006/main" count="84" uniqueCount="20">
  <si>
    <t>w</t>
  </si>
  <si>
    <t>b</t>
  </si>
  <si>
    <t>x</t>
  </si>
  <si>
    <t>y</t>
  </si>
  <si>
    <t>y_pred</t>
  </si>
  <si>
    <t>error ^ 2</t>
  </si>
  <si>
    <t>error</t>
  </si>
  <si>
    <t>y = 3x + 5</t>
  </si>
  <si>
    <t>error  * x</t>
  </si>
  <si>
    <t>eta</t>
  </si>
  <si>
    <t>Loss</t>
  </si>
  <si>
    <t>sum(yi - yi_pred)^2/2n = average(sum of all values))/2</t>
  </si>
  <si>
    <t>dw</t>
  </si>
  <si>
    <t>db</t>
  </si>
  <si>
    <t>new w</t>
  </si>
  <si>
    <t>new b</t>
  </si>
  <si>
    <t>negative of mean of all errors</t>
  </si>
  <si>
    <t>negative of mean of all errors * x</t>
  </si>
  <si>
    <t>old b - eta * dw</t>
  </si>
  <si>
    <t>old w - eta * 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</si>
</sst>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C6201-E611-4495-9B30-5060D5EADEAB}">
  <dimension ref="A2:L16"/>
  <sheetViews>
    <sheetView zoomScale="175" zoomScaleNormal="175" workbookViewId="0">
      <selection activeCell="K14" sqref="K14"/>
    </sheetView>
  </sheetViews>
  <sheetFormatPr defaultRowHeight="15" x14ac:dyDescent="0.25"/>
  <sheetData>
    <row r="2" spans="1:12" x14ac:dyDescent="0.25">
      <c r="A2" t="s">
        <v>7</v>
      </c>
    </row>
    <row r="3" spans="1:12" x14ac:dyDescent="0.25">
      <c r="A3" s="1" t="s">
        <v>2</v>
      </c>
      <c r="B3" s="1" t="s">
        <v>3</v>
      </c>
      <c r="D3" s="1" t="s">
        <v>4</v>
      </c>
      <c r="E3" s="1" t="s">
        <v>6</v>
      </c>
      <c r="F3" s="1" t="s">
        <v>5</v>
      </c>
      <c r="G3" s="2" t="s">
        <v>8</v>
      </c>
    </row>
    <row r="4" spans="1:12" x14ac:dyDescent="0.25">
      <c r="A4" s="1">
        <v>0.2</v>
      </c>
      <c r="B4" s="1">
        <f>3*A4 + 5</f>
        <v>5.6</v>
      </c>
      <c r="D4" s="1">
        <f>$B$14*A4 + $B$15</f>
        <v>0.16</v>
      </c>
      <c r="E4" s="1">
        <f>B4-D4</f>
        <v>5.4399999999999995</v>
      </c>
      <c r="F4" s="1">
        <f>E4*E4</f>
        <v>29.593599999999995</v>
      </c>
      <c r="G4" s="1">
        <f>E4 * A4</f>
        <v>1.0879999999999999</v>
      </c>
    </row>
    <row r="5" spans="1:12" x14ac:dyDescent="0.25">
      <c r="A5" s="1">
        <v>1.2</v>
      </c>
      <c r="B5" s="1">
        <f t="shared" ref="B5:B10" si="0">3*A5 + 5</f>
        <v>8.6</v>
      </c>
      <c r="D5" s="1">
        <f>$B$14*A5 + $B$15</f>
        <v>0.45999999999999996</v>
      </c>
      <c r="E5" s="1">
        <f t="shared" ref="E5:E10" si="1">B5-D5</f>
        <v>8.14</v>
      </c>
      <c r="F5" s="1">
        <f t="shared" ref="F5:F10" si="2">E5*E5</f>
        <v>66.259600000000006</v>
      </c>
      <c r="G5" s="1">
        <f t="shared" ref="G5:G10" si="3">E5 * A5</f>
        <v>9.7680000000000007</v>
      </c>
    </row>
    <row r="6" spans="1:12" x14ac:dyDescent="0.25">
      <c r="A6" s="1">
        <v>1</v>
      </c>
      <c r="B6" s="1">
        <f t="shared" si="0"/>
        <v>8</v>
      </c>
      <c r="D6" s="1">
        <f>$B$14*A6 + $B$15</f>
        <v>0.4</v>
      </c>
      <c r="E6" s="1">
        <f t="shared" si="1"/>
        <v>7.6</v>
      </c>
      <c r="F6" s="1">
        <f t="shared" si="2"/>
        <v>57.76</v>
      </c>
      <c r="G6" s="1">
        <f t="shared" si="3"/>
        <v>7.6</v>
      </c>
    </row>
    <row r="7" spans="1:12" x14ac:dyDescent="0.25">
      <c r="A7" s="1">
        <v>1.4</v>
      </c>
      <c r="B7" s="1">
        <f t="shared" si="0"/>
        <v>9.1999999999999993</v>
      </c>
      <c r="D7" s="1">
        <f>$B$14*A7 + $B$15</f>
        <v>0.52</v>
      </c>
      <c r="E7" s="1">
        <f t="shared" si="1"/>
        <v>8.68</v>
      </c>
      <c r="F7" s="1">
        <f t="shared" si="2"/>
        <v>75.342399999999998</v>
      </c>
      <c r="G7" s="1">
        <f t="shared" si="3"/>
        <v>12.151999999999999</v>
      </c>
    </row>
    <row r="8" spans="1:12" x14ac:dyDescent="0.25">
      <c r="A8" s="1">
        <v>-1.5</v>
      </c>
      <c r="B8" s="1">
        <f t="shared" si="0"/>
        <v>0.5</v>
      </c>
      <c r="D8" s="1">
        <f>$B$14*A8 + $B$15</f>
        <v>-0.35</v>
      </c>
      <c r="E8" s="1">
        <f t="shared" si="1"/>
        <v>0.85</v>
      </c>
      <c r="F8" s="1">
        <f t="shared" si="2"/>
        <v>0.72249999999999992</v>
      </c>
      <c r="G8" s="1">
        <f t="shared" si="3"/>
        <v>-1.2749999999999999</v>
      </c>
    </row>
    <row r="9" spans="1:12" x14ac:dyDescent="0.25">
      <c r="A9" s="1">
        <v>0.5</v>
      </c>
      <c r="B9" s="1">
        <f t="shared" si="0"/>
        <v>6.5</v>
      </c>
      <c r="D9" s="1">
        <f>$B$14*A9 + $B$15</f>
        <v>0.25</v>
      </c>
      <c r="E9" s="1">
        <f t="shared" si="1"/>
        <v>6.25</v>
      </c>
      <c r="F9" s="1">
        <f t="shared" si="2"/>
        <v>39.0625</v>
      </c>
      <c r="G9" s="1">
        <f t="shared" si="3"/>
        <v>3.125</v>
      </c>
    </row>
    <row r="10" spans="1:12" x14ac:dyDescent="0.25">
      <c r="A10" s="1">
        <v>-0.5</v>
      </c>
      <c r="B10" s="1">
        <f t="shared" si="0"/>
        <v>3.5</v>
      </c>
      <c r="D10" s="1">
        <f>$B$14*A10 + $B$15</f>
        <v>-4.9999999999999989E-2</v>
      </c>
      <c r="E10" s="1">
        <f t="shared" si="1"/>
        <v>3.55</v>
      </c>
      <c r="F10" s="1">
        <f t="shared" si="2"/>
        <v>12.602499999999999</v>
      </c>
      <c r="G10" s="1">
        <f t="shared" si="3"/>
        <v>-1.7749999999999999</v>
      </c>
    </row>
    <row r="11" spans="1:12" x14ac:dyDescent="0.25">
      <c r="D11" t="s">
        <v>10</v>
      </c>
      <c r="E11" t="s">
        <v>11</v>
      </c>
    </row>
    <row r="13" spans="1:12" x14ac:dyDescent="0.25">
      <c r="G13" t="s">
        <v>17</v>
      </c>
    </row>
    <row r="14" spans="1:12" x14ac:dyDescent="0.25">
      <c r="A14" t="s">
        <v>0</v>
      </c>
      <c r="B14">
        <v>0.3</v>
      </c>
      <c r="D14" t="s">
        <v>10</v>
      </c>
      <c r="E14">
        <f>AVERAGE(F4:F10)/2</f>
        <v>20.095935714285712</v>
      </c>
      <c r="F14" t="s">
        <v>12</v>
      </c>
      <c r="G14">
        <f>-AVERAGE(G4:G10)</f>
        <v>-4.383285714285714</v>
      </c>
      <c r="J14" t="s">
        <v>14</v>
      </c>
      <c r="K14">
        <f>B14 - $E$15 * G14</f>
        <v>1.1766571428571428</v>
      </c>
      <c r="L14" t="s">
        <v>18</v>
      </c>
    </row>
    <row r="15" spans="1:12" x14ac:dyDescent="0.25">
      <c r="A15" t="s">
        <v>1</v>
      </c>
      <c r="B15">
        <v>0.1</v>
      </c>
      <c r="D15" t="s">
        <v>9</v>
      </c>
      <c r="E15">
        <v>0.2</v>
      </c>
      <c r="F15" t="s">
        <v>13</v>
      </c>
      <c r="G15">
        <f>-AVERAGE(E4:E10)</f>
        <v>-5.7871428571428565</v>
      </c>
      <c r="J15" t="s">
        <v>15</v>
      </c>
      <c r="K15">
        <f>B15 - $E$15 * G15</f>
        <v>1.2574285714285713</v>
      </c>
      <c r="L15" t="s">
        <v>19</v>
      </c>
    </row>
    <row r="16" spans="1:12" x14ac:dyDescent="0.25">
      <c r="G1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D7E2-3B68-48FB-97C4-C0F3F5CFD70F}">
  <dimension ref="A2:L16"/>
  <sheetViews>
    <sheetView tabSelected="1" zoomScale="175" zoomScaleNormal="175" workbookViewId="0">
      <selection sqref="A1:XFD1048576"/>
    </sheetView>
  </sheetViews>
  <sheetFormatPr defaultRowHeight="15" x14ac:dyDescent="0.25"/>
  <sheetData>
    <row r="2" spans="1:12" x14ac:dyDescent="0.25">
      <c r="A2" t="s">
        <v>7</v>
      </c>
    </row>
    <row r="3" spans="1:12" x14ac:dyDescent="0.25">
      <c r="A3" s="1" t="s">
        <v>2</v>
      </c>
      <c r="B3" s="1" t="s">
        <v>3</v>
      </c>
      <c r="D3" s="1" t="s">
        <v>4</v>
      </c>
      <c r="E3" s="1" t="s">
        <v>6</v>
      </c>
      <c r="F3" s="1" t="s">
        <v>5</v>
      </c>
      <c r="G3" s="2" t="s">
        <v>8</v>
      </c>
    </row>
    <row r="4" spans="1:12" x14ac:dyDescent="0.25">
      <c r="A4" s="1">
        <v>0.2</v>
      </c>
      <c r="B4" s="1">
        <f>3*A4 + 5</f>
        <v>5.6</v>
      </c>
      <c r="D4" s="1">
        <f>$B$14*A4 + $B$15</f>
        <v>1.4927620000000001</v>
      </c>
      <c r="E4" s="1">
        <f>B4-D4</f>
        <v>4.1072379999999997</v>
      </c>
      <c r="F4" s="1">
        <f>E4*E4</f>
        <v>16.869403988643999</v>
      </c>
      <c r="G4" s="1">
        <f>E4 * A4</f>
        <v>0.82144759999999994</v>
      </c>
    </row>
    <row r="5" spans="1:12" x14ac:dyDescent="0.25">
      <c r="A5" s="1">
        <v>1.2</v>
      </c>
      <c r="B5" s="1">
        <f t="shared" ref="B5:B10" si="0">3*A5 + 5</f>
        <v>8.6</v>
      </c>
      <c r="D5" s="1">
        <f>$B$14*A5 + $B$15</f>
        <v>2.669422</v>
      </c>
      <c r="E5" s="1">
        <f t="shared" ref="E5:E10" si="1">B5-D5</f>
        <v>5.9305779999999997</v>
      </c>
      <c r="F5" s="1">
        <f t="shared" ref="F5:F10" si="2">E5*E5</f>
        <v>35.171755414083997</v>
      </c>
      <c r="G5" s="1">
        <f t="shared" ref="G5:G10" si="3">E5 * A5</f>
        <v>7.1166935999999996</v>
      </c>
    </row>
    <row r="6" spans="1:12" x14ac:dyDescent="0.25">
      <c r="A6" s="1">
        <v>1</v>
      </c>
      <c r="B6" s="1">
        <f t="shared" si="0"/>
        <v>8</v>
      </c>
      <c r="D6" s="1">
        <f>$B$14*A6 + $B$15</f>
        <v>2.4340900000000003</v>
      </c>
      <c r="E6" s="1">
        <f t="shared" si="1"/>
        <v>5.5659099999999997</v>
      </c>
      <c r="F6" s="1">
        <f t="shared" si="2"/>
        <v>30.979354128099995</v>
      </c>
      <c r="G6" s="1">
        <f t="shared" si="3"/>
        <v>5.5659099999999997</v>
      </c>
    </row>
    <row r="7" spans="1:12" x14ac:dyDescent="0.25">
      <c r="A7" s="1">
        <v>1.4</v>
      </c>
      <c r="B7" s="1">
        <f t="shared" si="0"/>
        <v>9.1999999999999993</v>
      </c>
      <c r="D7" s="1">
        <f>$B$14*A7 + $B$15</f>
        <v>2.9047540000000001</v>
      </c>
      <c r="E7" s="1">
        <f t="shared" si="1"/>
        <v>6.2952459999999988</v>
      </c>
      <c r="F7" s="1">
        <f t="shared" si="2"/>
        <v>39.630122200515984</v>
      </c>
      <c r="G7" s="1">
        <f t="shared" si="3"/>
        <v>8.8133443999999983</v>
      </c>
    </row>
    <row r="8" spans="1:12" x14ac:dyDescent="0.25">
      <c r="A8" s="1">
        <v>-1.5</v>
      </c>
      <c r="B8" s="1">
        <f t="shared" si="0"/>
        <v>0.5</v>
      </c>
      <c r="D8" s="1">
        <f>$B$14*A8 + $B$15</f>
        <v>-0.50756000000000001</v>
      </c>
      <c r="E8" s="1">
        <f t="shared" si="1"/>
        <v>1.00756</v>
      </c>
      <c r="F8" s="1">
        <f t="shared" si="2"/>
        <v>1.0151771536</v>
      </c>
      <c r="G8" s="1">
        <f t="shared" si="3"/>
        <v>-1.5113400000000001</v>
      </c>
    </row>
    <row r="9" spans="1:12" x14ac:dyDescent="0.25">
      <c r="A9" s="1">
        <v>0.5</v>
      </c>
      <c r="B9" s="1">
        <f t="shared" si="0"/>
        <v>6.5</v>
      </c>
      <c r="D9" s="1">
        <f>$B$14*A9 + $B$15</f>
        <v>1.8457600000000001</v>
      </c>
      <c r="E9" s="1">
        <f t="shared" si="1"/>
        <v>4.6542399999999997</v>
      </c>
      <c r="F9" s="1">
        <f t="shared" si="2"/>
        <v>21.661949977599999</v>
      </c>
      <c r="G9" s="1">
        <f t="shared" si="3"/>
        <v>2.3271199999999999</v>
      </c>
    </row>
    <row r="10" spans="1:12" x14ac:dyDescent="0.25">
      <c r="A10" s="1">
        <v>-0.5</v>
      </c>
      <c r="B10" s="1">
        <f t="shared" si="0"/>
        <v>3.5</v>
      </c>
      <c r="D10" s="1">
        <f>$B$14*A10 + $B$15</f>
        <v>0.66910000000000003</v>
      </c>
      <c r="E10" s="1">
        <f t="shared" si="1"/>
        <v>2.8308999999999997</v>
      </c>
      <c r="F10" s="1">
        <f t="shared" si="2"/>
        <v>8.013994809999998</v>
      </c>
      <c r="G10" s="1">
        <f t="shared" si="3"/>
        <v>-1.4154499999999999</v>
      </c>
    </row>
    <row r="11" spans="1:12" x14ac:dyDescent="0.25">
      <c r="D11" t="s">
        <v>10</v>
      </c>
      <c r="E11" t="s">
        <v>11</v>
      </c>
    </row>
    <row r="13" spans="1:12" x14ac:dyDescent="0.25">
      <c r="G13" t="s">
        <v>17</v>
      </c>
    </row>
    <row r="14" spans="1:12" x14ac:dyDescent="0.25">
      <c r="A14" t="s">
        <v>0</v>
      </c>
      <c r="B14">
        <v>1.17666</v>
      </c>
      <c r="D14" t="s">
        <v>10</v>
      </c>
      <c r="E14">
        <f>AVERAGE(F4:F10)/2</f>
        <v>10.952982690895997</v>
      </c>
      <c r="F14" t="s">
        <v>12</v>
      </c>
      <c r="G14">
        <f>-AVERAGE(G4:G10)</f>
        <v>-3.1025322285714281</v>
      </c>
      <c r="J14" t="s">
        <v>14</v>
      </c>
      <c r="K14">
        <f>B14 - $E$15 * G14</f>
        <v>1.7971664457142857</v>
      </c>
      <c r="L14" t="s">
        <v>18</v>
      </c>
    </row>
    <row r="15" spans="1:12" x14ac:dyDescent="0.25">
      <c r="A15" t="s">
        <v>1</v>
      </c>
      <c r="B15">
        <v>1.25743</v>
      </c>
      <c r="D15" t="s">
        <v>9</v>
      </c>
      <c r="E15">
        <v>0.2</v>
      </c>
      <c r="F15" t="s">
        <v>13</v>
      </c>
      <c r="G15">
        <f>-AVERAGE(E4:E10)</f>
        <v>-4.3416674285714283</v>
      </c>
      <c r="J15" t="s">
        <v>15</v>
      </c>
      <c r="K15">
        <f>B15 - $E$15 * G15</f>
        <v>2.1257634857142857</v>
      </c>
      <c r="L15" t="s">
        <v>19</v>
      </c>
    </row>
    <row r="16" spans="1:12" x14ac:dyDescent="0.25">
      <c r="G1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8AF58-D845-497A-8E14-9CC57B8BA630}">
  <dimension ref="A2:L16"/>
  <sheetViews>
    <sheetView zoomScale="175" zoomScaleNormal="175" workbookViewId="0">
      <selection sqref="A1:XFD1048576"/>
    </sheetView>
  </sheetViews>
  <sheetFormatPr defaultRowHeight="15" x14ac:dyDescent="0.25"/>
  <sheetData>
    <row r="2" spans="1:12" x14ac:dyDescent="0.25">
      <c r="A2" t="s">
        <v>7</v>
      </c>
    </row>
    <row r="3" spans="1:12" x14ac:dyDescent="0.25">
      <c r="A3" s="1" t="s">
        <v>2</v>
      </c>
      <c r="B3" s="1" t="s">
        <v>3</v>
      </c>
      <c r="D3" s="1" t="s">
        <v>4</v>
      </c>
      <c r="E3" s="1" t="s">
        <v>6</v>
      </c>
      <c r="F3" s="1" t="s">
        <v>5</v>
      </c>
      <c r="G3" s="2" t="s">
        <v>8</v>
      </c>
    </row>
    <row r="4" spans="1:12" x14ac:dyDescent="0.25">
      <c r="A4" s="1">
        <v>0.2</v>
      </c>
      <c r="B4" s="1">
        <f>3*A4 + 5</f>
        <v>5.6</v>
      </c>
      <c r="D4" s="1">
        <f>$B$14*A4 + $B$15</f>
        <v>2.4851939999999999</v>
      </c>
      <c r="E4" s="1">
        <f>B4-D4</f>
        <v>3.1148059999999997</v>
      </c>
      <c r="F4" s="1">
        <f>E4*E4</f>
        <v>9.7020164176359991</v>
      </c>
      <c r="G4" s="1">
        <f>E4 * A4</f>
        <v>0.62296119999999999</v>
      </c>
    </row>
    <row r="5" spans="1:12" x14ac:dyDescent="0.25">
      <c r="A5" s="1">
        <v>1.2</v>
      </c>
      <c r="B5" s="1">
        <f t="shared" ref="B5:B10" si="0">3*A5 + 5</f>
        <v>8.6</v>
      </c>
      <c r="D5" s="1">
        <f>$B$14*A5 + $B$15</f>
        <v>4.2823639999999994</v>
      </c>
      <c r="E5" s="1">
        <f t="shared" ref="E5:E10" si="1">B5-D5</f>
        <v>4.3176360000000003</v>
      </c>
      <c r="F5" s="1">
        <f t="shared" ref="F5:F10" si="2">E5*E5</f>
        <v>18.641980628496004</v>
      </c>
      <c r="G5" s="1">
        <f t="shared" ref="G5:G10" si="3">E5 * A5</f>
        <v>5.1811632000000003</v>
      </c>
    </row>
    <row r="6" spans="1:12" x14ac:dyDescent="0.25">
      <c r="A6" s="1">
        <v>1</v>
      </c>
      <c r="B6" s="1">
        <f t="shared" si="0"/>
        <v>8</v>
      </c>
      <c r="D6" s="1">
        <f>$B$14*A6 + $B$15</f>
        <v>3.92293</v>
      </c>
      <c r="E6" s="1">
        <f t="shared" si="1"/>
        <v>4.07707</v>
      </c>
      <c r="F6" s="1">
        <f t="shared" si="2"/>
        <v>16.6224997849</v>
      </c>
      <c r="G6" s="1">
        <f t="shared" si="3"/>
        <v>4.07707</v>
      </c>
    </row>
    <row r="7" spans="1:12" x14ac:dyDescent="0.25">
      <c r="A7" s="1">
        <v>1.4</v>
      </c>
      <c r="B7" s="1">
        <f t="shared" si="0"/>
        <v>9.1999999999999993</v>
      </c>
      <c r="D7" s="1">
        <f>$B$14*A7 + $B$15</f>
        <v>4.6417979999999996</v>
      </c>
      <c r="E7" s="1">
        <f t="shared" si="1"/>
        <v>4.5582019999999996</v>
      </c>
      <c r="F7" s="1">
        <f t="shared" si="2"/>
        <v>20.777205472803995</v>
      </c>
      <c r="G7" s="1">
        <f t="shared" si="3"/>
        <v>6.3814827999999988</v>
      </c>
    </row>
    <row r="8" spans="1:12" x14ac:dyDescent="0.25">
      <c r="A8" s="1">
        <v>-1.5</v>
      </c>
      <c r="B8" s="1">
        <f t="shared" si="0"/>
        <v>0.5</v>
      </c>
      <c r="D8" s="1">
        <f>$B$14*A8 + $B$15</f>
        <v>-0.56999500000000003</v>
      </c>
      <c r="E8" s="1">
        <f t="shared" si="1"/>
        <v>1.069995</v>
      </c>
      <c r="F8" s="1">
        <f t="shared" si="2"/>
        <v>1.144889300025</v>
      </c>
      <c r="G8" s="1">
        <f t="shared" si="3"/>
        <v>-1.6049925</v>
      </c>
    </row>
    <row r="9" spans="1:12" x14ac:dyDescent="0.25">
      <c r="A9" s="1">
        <v>0.5</v>
      </c>
      <c r="B9" s="1">
        <f t="shared" si="0"/>
        <v>6.5</v>
      </c>
      <c r="D9" s="1">
        <f>$B$14*A9 + $B$15</f>
        <v>3.0243450000000003</v>
      </c>
      <c r="E9" s="1">
        <f t="shared" si="1"/>
        <v>3.4756549999999997</v>
      </c>
      <c r="F9" s="1">
        <f t="shared" si="2"/>
        <v>12.080177679024999</v>
      </c>
      <c r="G9" s="1">
        <f t="shared" si="3"/>
        <v>1.7378274999999999</v>
      </c>
    </row>
    <row r="10" spans="1:12" x14ac:dyDescent="0.25">
      <c r="A10" s="1">
        <v>-0.5</v>
      </c>
      <c r="B10" s="1">
        <f t="shared" si="0"/>
        <v>3.5</v>
      </c>
      <c r="D10" s="1">
        <f>$B$14*A10 + $B$15</f>
        <v>1.2271750000000001</v>
      </c>
      <c r="E10" s="1">
        <f t="shared" si="1"/>
        <v>2.2728250000000001</v>
      </c>
      <c r="F10" s="1">
        <f t="shared" si="2"/>
        <v>5.1657334806250006</v>
      </c>
      <c r="G10" s="1">
        <f t="shared" si="3"/>
        <v>-1.1364125</v>
      </c>
    </row>
    <row r="11" spans="1:12" x14ac:dyDescent="0.25">
      <c r="D11" t="s">
        <v>10</v>
      </c>
      <c r="E11" t="s">
        <v>11</v>
      </c>
    </row>
    <row r="13" spans="1:12" x14ac:dyDescent="0.25">
      <c r="G13" t="s">
        <v>17</v>
      </c>
    </row>
    <row r="14" spans="1:12" x14ac:dyDescent="0.25">
      <c r="A14" t="s">
        <v>0</v>
      </c>
      <c r="B14">
        <v>1.7971699999999999</v>
      </c>
      <c r="D14" t="s">
        <v>10</v>
      </c>
      <c r="E14">
        <f>AVERAGE(F4:F10)/2</f>
        <v>6.0096073402507857</v>
      </c>
      <c r="F14" t="s">
        <v>12</v>
      </c>
      <c r="G14">
        <f>-AVERAGE(G4:G10)</f>
        <v>-2.1798713857142853</v>
      </c>
      <c r="J14" t="s">
        <v>14</v>
      </c>
      <c r="K14">
        <f>B14 - $E$15 * G14</f>
        <v>2.2331442771428569</v>
      </c>
      <c r="L14" t="s">
        <v>18</v>
      </c>
    </row>
    <row r="15" spans="1:12" x14ac:dyDescent="0.25">
      <c r="A15" t="s">
        <v>1</v>
      </c>
      <c r="B15">
        <v>2.1257600000000001</v>
      </c>
      <c r="D15" t="s">
        <v>9</v>
      </c>
      <c r="E15">
        <v>0.2</v>
      </c>
      <c r="F15" t="s">
        <v>13</v>
      </c>
      <c r="G15">
        <f>-AVERAGE(E4:E10)</f>
        <v>-3.2694555714285718</v>
      </c>
      <c r="J15" t="s">
        <v>15</v>
      </c>
      <c r="K15">
        <f>B15 - $E$15 * G15</f>
        <v>2.7796511142857145</v>
      </c>
      <c r="L15" t="s">
        <v>19</v>
      </c>
    </row>
    <row r="16" spans="1:12" x14ac:dyDescent="0.25">
      <c r="G1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25536-402D-426C-BFFF-B3A375342567}">
  <dimension ref="A2:L16"/>
  <sheetViews>
    <sheetView zoomScale="175" zoomScaleNormal="175" workbookViewId="0">
      <selection activeCell="A4" sqref="A4:A10"/>
    </sheetView>
  </sheetViews>
  <sheetFormatPr defaultRowHeight="15" x14ac:dyDescent="0.25"/>
  <sheetData>
    <row r="2" spans="1:12" x14ac:dyDescent="0.25">
      <c r="A2" t="s">
        <v>7</v>
      </c>
    </row>
    <row r="3" spans="1:12" x14ac:dyDescent="0.25">
      <c r="A3" s="1" t="s">
        <v>2</v>
      </c>
      <c r="B3" s="1" t="s">
        <v>3</v>
      </c>
      <c r="D3" s="1" t="s">
        <v>4</v>
      </c>
      <c r="E3" s="1" t="s">
        <v>6</v>
      </c>
      <c r="F3" s="1" t="s">
        <v>5</v>
      </c>
      <c r="G3" s="2" t="s">
        <v>8</v>
      </c>
    </row>
    <row r="4" spans="1:12" x14ac:dyDescent="0.25">
      <c r="A4" s="1">
        <v>0.2</v>
      </c>
      <c r="B4" s="1">
        <f>3*A4 + 5</f>
        <v>5.6</v>
      </c>
      <c r="D4" s="1">
        <f>$B$14*A4 + $B$15</f>
        <v>3.2262780000000002</v>
      </c>
      <c r="E4" s="1">
        <f>B4-D4</f>
        <v>2.3737219999999994</v>
      </c>
      <c r="F4" s="1">
        <f>E4*E4</f>
        <v>5.6345561332839971</v>
      </c>
      <c r="G4" s="1">
        <f>E4 * A4</f>
        <v>0.4747443999999999</v>
      </c>
    </row>
    <row r="5" spans="1:12" x14ac:dyDescent="0.25">
      <c r="A5" s="1">
        <v>1.2</v>
      </c>
      <c r="B5" s="1">
        <f t="shared" ref="B5:B10" si="0">3*A5 + 5</f>
        <v>8.6</v>
      </c>
      <c r="D5" s="1">
        <f>$B$14*A5 + $B$15</f>
        <v>5.4594180000000003</v>
      </c>
      <c r="E5" s="1">
        <f t="shared" ref="E5:E10" si="1">B5-D5</f>
        <v>3.1405819999999993</v>
      </c>
      <c r="F5" s="1">
        <f t="shared" ref="F5:F10" si="2">E5*E5</f>
        <v>9.8632552987239954</v>
      </c>
      <c r="G5" s="1">
        <f t="shared" ref="G5:G10" si="3">E5 * A5</f>
        <v>3.768698399999999</v>
      </c>
    </row>
    <row r="6" spans="1:12" x14ac:dyDescent="0.25">
      <c r="A6" s="1">
        <v>1</v>
      </c>
      <c r="B6" s="1">
        <f t="shared" si="0"/>
        <v>8</v>
      </c>
      <c r="D6" s="1">
        <f>$B$14*A6 + $B$15</f>
        <v>5.0127900000000007</v>
      </c>
      <c r="E6" s="1">
        <f t="shared" si="1"/>
        <v>2.9872099999999993</v>
      </c>
      <c r="F6" s="1">
        <f t="shared" si="2"/>
        <v>8.9234235840999947</v>
      </c>
      <c r="G6" s="1">
        <f t="shared" si="3"/>
        <v>2.9872099999999993</v>
      </c>
    </row>
    <row r="7" spans="1:12" x14ac:dyDescent="0.25">
      <c r="A7" s="1">
        <v>1.4</v>
      </c>
      <c r="B7" s="1">
        <f t="shared" si="0"/>
        <v>9.1999999999999993</v>
      </c>
      <c r="D7" s="1">
        <f>$B$14*A7 + $B$15</f>
        <v>5.9060459999999999</v>
      </c>
      <c r="E7" s="1">
        <f t="shared" si="1"/>
        <v>3.2939539999999994</v>
      </c>
      <c r="F7" s="1">
        <f t="shared" si="2"/>
        <v>10.850132954115995</v>
      </c>
      <c r="G7" s="1">
        <f t="shared" si="3"/>
        <v>4.611535599999999</v>
      </c>
    </row>
    <row r="8" spans="1:12" x14ac:dyDescent="0.25">
      <c r="A8" s="1">
        <v>-1.5</v>
      </c>
      <c r="B8" s="1">
        <f t="shared" si="0"/>
        <v>0.5</v>
      </c>
      <c r="D8" s="1">
        <f>$B$14*A8 + $B$15</f>
        <v>-0.57005999999999979</v>
      </c>
      <c r="E8" s="1">
        <f t="shared" si="1"/>
        <v>1.0700599999999998</v>
      </c>
      <c r="F8" s="1">
        <f t="shared" si="2"/>
        <v>1.1450284035999996</v>
      </c>
      <c r="G8" s="1">
        <f t="shared" si="3"/>
        <v>-1.6050899999999997</v>
      </c>
    </row>
    <row r="9" spans="1:12" x14ac:dyDescent="0.25">
      <c r="A9" s="1">
        <v>0.5</v>
      </c>
      <c r="B9" s="1">
        <f t="shared" si="0"/>
        <v>6.5</v>
      </c>
      <c r="D9" s="1">
        <f>$B$14*A9 + $B$15</f>
        <v>3.8962200000000005</v>
      </c>
      <c r="E9" s="1">
        <f t="shared" si="1"/>
        <v>2.6037799999999995</v>
      </c>
      <c r="F9" s="1">
        <f t="shared" si="2"/>
        <v>6.7796702883999975</v>
      </c>
      <c r="G9" s="1">
        <f t="shared" si="3"/>
        <v>1.3018899999999998</v>
      </c>
    </row>
    <row r="10" spans="1:12" x14ac:dyDescent="0.25">
      <c r="A10" s="1">
        <v>-0.5</v>
      </c>
      <c r="B10" s="1">
        <f t="shared" si="0"/>
        <v>3.5</v>
      </c>
      <c r="D10" s="1">
        <f>$B$14*A10 + $B$15</f>
        <v>1.6630800000000001</v>
      </c>
      <c r="E10" s="1">
        <f t="shared" si="1"/>
        <v>1.8369199999999999</v>
      </c>
      <c r="F10" s="1">
        <f t="shared" si="2"/>
        <v>3.3742750863999995</v>
      </c>
      <c r="G10" s="1">
        <f t="shared" si="3"/>
        <v>-0.91845999999999994</v>
      </c>
    </row>
    <row r="11" spans="1:12" x14ac:dyDescent="0.25">
      <c r="D11" t="s">
        <v>10</v>
      </c>
      <c r="E11" t="s">
        <v>11</v>
      </c>
    </row>
    <row r="13" spans="1:12" x14ac:dyDescent="0.25">
      <c r="G13" t="s">
        <v>17</v>
      </c>
    </row>
    <row r="14" spans="1:12" x14ac:dyDescent="0.25">
      <c r="A14" t="s">
        <v>0</v>
      </c>
      <c r="B14">
        <v>2.2331400000000001</v>
      </c>
      <c r="D14" t="s">
        <v>10</v>
      </c>
      <c r="E14">
        <f>AVERAGE(F4:F10)/2</f>
        <v>3.3264529820445694</v>
      </c>
      <c r="F14" t="s">
        <v>12</v>
      </c>
      <c r="G14">
        <f>-AVERAGE(G4:G10)</f>
        <v>-1.5172183428571426</v>
      </c>
      <c r="J14" t="s">
        <v>14</v>
      </c>
      <c r="K14">
        <f>B14 - $E$15 * G14</f>
        <v>2.5365836685714287</v>
      </c>
      <c r="L14" t="s">
        <v>18</v>
      </c>
    </row>
    <row r="15" spans="1:12" x14ac:dyDescent="0.25">
      <c r="A15" t="s">
        <v>1</v>
      </c>
      <c r="B15">
        <v>2.7796500000000002</v>
      </c>
      <c r="D15" t="s">
        <v>9</v>
      </c>
      <c r="E15">
        <v>0.2</v>
      </c>
      <c r="F15" t="s">
        <v>13</v>
      </c>
      <c r="G15">
        <f>-AVERAGE(E4:E10)</f>
        <v>-2.4723182857142851</v>
      </c>
      <c r="J15" t="s">
        <v>15</v>
      </c>
      <c r="K15">
        <f>B15 - $E$15 * G15</f>
        <v>3.2741136571428573</v>
      </c>
      <c r="L15" t="s">
        <v>19</v>
      </c>
    </row>
    <row r="16" spans="1:12" x14ac:dyDescent="0.25">
      <c r="G16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dbda</dc:creator>
  <cp:lastModifiedBy>dbda</cp:lastModifiedBy>
  <dcterms:created xsi:type="dcterms:W3CDTF">2025-12-20T10:00:19Z</dcterms:created>
  <dcterms:modified xsi:type="dcterms:W3CDTF">2025-12-20T11:39:56Z</dcterms:modified>
</cp:coreProperties>
</file>